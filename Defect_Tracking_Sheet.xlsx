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 Tracking Sheet" sheetId="1" state="visible" r:id="rId3"/>
    <sheet name="Summary Dashboard" sheetId="2" state="visible" r:id="rId4"/>
    <sheet name="Bug Lifecycle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<sst xmlns="http://schemas.openxmlformats.org/spreadsheetml/2006/main" count="223" uniqueCount="133">
  <si>
    <t xml:space="preserve">DEFECT TRACKING SHEET - Student Registration System</t>
  </si>
  <si>
    <t xml:space="preserve">Prepared by: Ruknuddin Asrari | Software Quality Engineer | IT Software Development | ruknuddin.asrari@thecareerinsights.com | March 2026</t>
  </si>
  <si>
    <t xml:space="preserve">Bug ID</t>
  </si>
  <si>
    <t xml:space="preserve">Module</t>
  </si>
  <si>
    <t xml:space="preserve">Title</t>
  </si>
  <si>
    <t xml:space="preserve">Description</t>
  </si>
  <si>
    <t xml:space="preserve">Severity</t>
  </si>
  <si>
    <t xml:space="preserve">Priority</t>
  </si>
  <si>
    <t xml:space="preserve">Status</t>
  </si>
  <si>
    <t xml:space="preserve">Assigned To</t>
  </si>
  <si>
    <t xml:space="preserve">Environment</t>
  </si>
  <si>
    <t xml:space="preserve">Date Raised</t>
  </si>
  <si>
    <t xml:space="preserve">Date Fixed</t>
  </si>
  <si>
    <t xml:space="preserve">Comments</t>
  </si>
  <si>
    <t xml:space="preserve">BUG-001</t>
  </si>
  <si>
    <t xml:space="preserve">Login</t>
  </si>
  <si>
    <t xml:space="preserve">User Remains Logged In After Logout</t>
  </si>
  <si>
    <t xml:space="preserve">Session not destroyed on logout; Back button restores authenticated pages</t>
  </si>
  <si>
    <t xml:space="preserve">Critical</t>
  </si>
  <si>
    <t xml:space="preserve">High</t>
  </si>
  <si>
    <t xml:space="preserve">Open</t>
  </si>
  <si>
    <t xml:space="preserve">Ruknuddin Asrari</t>
  </si>
  <si>
    <t xml:space="preserve">Chrome 120, Win11</t>
  </si>
  <si>
    <t xml:space="preserve">26-Mar-2026</t>
  </si>
  <si>
    <t xml:space="preserve">Blocks release – investigate session destroy mechanism</t>
  </si>
  <si>
    <t xml:space="preserve">BUG-002</t>
  </si>
  <si>
    <t xml:space="preserve">Student Signup</t>
  </si>
  <si>
    <t xml:space="preserve">Duplicate Email Registration Succeeds</t>
  </si>
  <si>
    <t xml:space="preserve">No server-side duplicate email check; second account created</t>
  </si>
  <si>
    <t xml:space="preserve">Firefox 121, Win11</t>
  </si>
  <si>
    <t xml:space="preserve">Add unique constraint check on email field</t>
  </si>
  <si>
    <t xml:space="preserve">BUG-003</t>
  </si>
  <si>
    <t xml:space="preserve">No Account Lockout After Failed Logins</t>
  </si>
  <si>
    <t xml:space="preserve">Unlimited login attempts allowed; no lockout or CAPTCHA triggered</t>
  </si>
  <si>
    <t xml:space="preserve">Implement 5-attempt lockout with 15-min timeout</t>
  </si>
  <si>
    <t xml:space="preserve">BUG-004</t>
  </si>
  <si>
    <t xml:space="preserve">Weak Passwords Accepted</t>
  </si>
  <si>
    <t xml:space="preserve">Password '123456' accepted; no complexity validation on server</t>
  </si>
  <si>
    <t xml:space="preserve">Add server-side regex validation for password strength</t>
  </si>
  <si>
    <t xml:space="preserve">BUG-005</t>
  </si>
  <si>
    <t xml:space="preserve">Course Enrollment</t>
  </si>
  <si>
    <t xml:space="preserve">Duplicate Enrollment Allowed</t>
  </si>
  <si>
    <t xml:space="preserve">Student can enroll in same course multiple times; records duplicated</t>
  </si>
  <si>
    <t xml:space="preserve">Check enrollment status before processing new request</t>
  </si>
  <si>
    <t xml:space="preserve">BUG-006</t>
  </si>
  <si>
    <t xml:space="preserve">Profile Update</t>
  </si>
  <si>
    <t xml:space="preserve">Profile Changes Not Saved</t>
  </si>
  <si>
    <t xml:space="preserve">Save button does not persist data; no error or success message shown</t>
  </si>
  <si>
    <t xml:space="preserve">In Progress</t>
  </si>
  <si>
    <t xml:space="preserve">Chrome 120, macOS</t>
  </si>
  <si>
    <t xml:space="preserve">Dev investigating DB transaction issue – ETA 28-Mar</t>
  </si>
  <si>
    <t xml:space="preserve">BUG-007</t>
  </si>
  <si>
    <t xml:space="preserve">Admin Dashboard</t>
  </si>
  <si>
    <t xml:space="preserve">Student Access to Admin Dashboard</t>
  </si>
  <si>
    <t xml:space="preserve">Student can access /admin/dashboard via direct URL; no RBAC check</t>
  </si>
  <si>
    <t xml:space="preserve">Add server-side role check on all admin routes</t>
  </si>
  <si>
    <t xml:space="preserve">BUG-008</t>
  </si>
  <si>
    <t xml:space="preserve">Full Course Enrollment via API Bypass</t>
  </si>
  <si>
    <t xml:space="preserve">UI disables button but API allows enrollment in 0-seat courses</t>
  </si>
  <si>
    <t xml:space="preserve">Postman, Chrome 120</t>
  </si>
  <si>
    <t xml:space="preserve">Enforce capacity check in API endpoint server-side</t>
  </si>
  <si>
    <t xml:space="preserve">BUG-009</t>
  </si>
  <si>
    <t xml:space="preserve">500-Char Input Accepted in Name Fields</t>
  </si>
  <si>
    <t xml:space="preserve">No max-length server validation; long strings stored in DB</t>
  </si>
  <si>
    <t xml:space="preserve">Medium</t>
  </si>
  <si>
    <t xml:space="preserve">New</t>
  </si>
  <si>
    <t xml:space="preserve">Add maxlength=100 server-side validation to all text fields</t>
  </si>
  <si>
    <t xml:space="preserve">BUG-010</t>
  </si>
  <si>
    <t xml:space="preserve">Enrollment Count Not Real-Time</t>
  </si>
  <si>
    <t xml:space="preserve">Count stale until admin manually refreshes; no auto-update mechanism</t>
  </si>
  <si>
    <t xml:space="preserve">Implement auto-refresh or WebSocket push for report counts</t>
  </si>
  <si>
    <t xml:space="preserve">DEFECT SUMMARY DASHBOARD</t>
  </si>
  <si>
    <t xml:space="preserve">Student Registration System | Ruknuddin Asrari | March 2026</t>
  </si>
  <si>
    <t xml:space="preserve">BY MODULE</t>
  </si>
  <si>
    <t xml:space="preserve">Defect Count</t>
  </si>
  <si>
    <t xml:space="preserve">Severity Breakdown</t>
  </si>
  <si>
    <t xml:space="preserve">3</t>
  </si>
  <si>
    <t xml:space="preserve">Critical x1, High x2</t>
  </si>
  <si>
    <t xml:space="preserve">2</t>
  </si>
  <si>
    <t xml:space="preserve">High x2</t>
  </si>
  <si>
    <t xml:space="preserve">1</t>
  </si>
  <si>
    <t xml:space="preserve">High x1</t>
  </si>
  <si>
    <t xml:space="preserve">Critical x1, Medium x1</t>
  </si>
  <si>
    <t xml:space="preserve">TOTAL</t>
  </si>
  <si>
    <t xml:space="preserve">Critical x3, High x6, Medium x2</t>
  </si>
  <si>
    <t xml:space="preserve">BY STATUS</t>
  </si>
  <si>
    <t xml:space="preserve">Count</t>
  </si>
  <si>
    <t xml:space="preserve">Notes</t>
  </si>
  <si>
    <t xml:space="preserve">Requires immediate developer attention</t>
  </si>
  <si>
    <t xml:space="preserve">BUG-006 – Profile update DB fix in progress</t>
  </si>
  <si>
    <t xml:space="preserve">BUG-009, BUG-010 – Pending triage</t>
  </si>
  <si>
    <t xml:space="preserve">Fixed</t>
  </si>
  <si>
    <t xml:space="preserve">No defects fixed yet</t>
  </si>
  <si>
    <t xml:space="preserve">Closed</t>
  </si>
  <si>
    <t xml:space="preserve">No defects closed yet</t>
  </si>
  <si>
    <t xml:space="preserve">BY SEVERITY</t>
  </si>
  <si>
    <t xml:space="preserve">% of Total</t>
  </si>
  <si>
    <t xml:space="preserve">Low</t>
  </si>
  <si>
    <t xml:space="preserve">BUG LIFECYCLE QUICK REFERENCE</t>
  </si>
  <si>
    <t xml:space="preserve">Prepared by: Ruknuddin Asrari | Software Quality Engineer | March 2026</t>
  </si>
  <si>
    <t xml:space="preserve">Owner</t>
  </si>
  <si>
    <t xml:space="preserve">When</t>
  </si>
  <si>
    <t xml:space="preserve">Transitions To</t>
  </si>
  <si>
    <t xml:space="preserve">Background Color</t>
  </si>
  <si>
    <t xml:space="preserve">Tester</t>
  </si>
  <si>
    <t xml:space="preserve">Defect just discovered and logged for the first time</t>
  </si>
  <si>
    <t xml:space="preserve">Open / Rejected</t>
  </si>
  <si>
    <t xml:space="preserve">D6E4F7</t>
  </si>
  <si>
    <t xml:space="preserve">QA Lead</t>
  </si>
  <si>
    <t xml:space="preserve">Reviewed, accepted, assigned to developer</t>
  </si>
  <si>
    <t xml:space="preserve">In Progress / Rejected / Deferred</t>
  </si>
  <si>
    <t xml:space="preserve">FFEDD5</t>
  </si>
  <si>
    <t xml:space="preserve">Developer</t>
  </si>
  <si>
    <t xml:space="preserve">Developer actively working on fix</t>
  </si>
  <si>
    <t xml:space="preserve">FEF9C3</t>
  </si>
  <si>
    <t xml:space="preserve">Fix implemented and deployed to QA</t>
  </si>
  <si>
    <t xml:space="preserve">Retest</t>
  </si>
  <si>
    <t xml:space="preserve">DCFCE7</t>
  </si>
  <si>
    <t xml:space="preserve">Tester verifying the fix</t>
  </si>
  <si>
    <t xml:space="preserve">Closed / Reopened</t>
  </si>
  <si>
    <t xml:space="preserve">EDE9FE</t>
  </si>
  <si>
    <t xml:space="preserve">Fix verified and confirmed resolved</t>
  </si>
  <si>
    <t xml:space="preserve">(terminal state)</t>
  </si>
  <si>
    <t xml:space="preserve">Reopened</t>
  </si>
  <si>
    <t xml:space="preserve">Fix failed; defect re-raised</t>
  </si>
  <si>
    <t xml:space="preserve">FEE2E2</t>
  </si>
  <si>
    <t xml:space="preserve">Rejected</t>
  </si>
  <si>
    <t xml:space="preserve">Not valid, duplicate, or not reproducible</t>
  </si>
  <si>
    <t xml:space="preserve">F3F4F6</t>
  </si>
  <si>
    <t xml:space="preserve">Deferred</t>
  </si>
  <si>
    <t xml:space="preserve">PM / QA Lead</t>
  </si>
  <si>
    <t xml:space="preserve">Fix postponed to future release</t>
  </si>
  <si>
    <t xml:space="preserve">(reviewed each sprint)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</si>
</sst>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1F2937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3F4F6"/>
      </patternFill>
    </fill>
    <fill>
      <patternFill patternType="solid">
        <fgColor rgb="FFFEE2E2"/>
        <bgColor rgb="FFFFEDD5"/>
      </patternFill>
    </fill>
    <fill>
      <patternFill patternType="solid">
        <fgColor rgb="FFFFEDD5"/>
        <bgColor rgb="FFFEE2E2"/>
      </patternFill>
    </fill>
    <fill>
      <patternFill patternType="solid">
        <fgColor rgb="FFE8F0FB"/>
        <bgColor rgb="FFEDE9FE"/>
      </patternFill>
    </fill>
    <fill>
      <patternFill patternType="solid">
        <fgColor rgb="FFFEF9C3"/>
        <bgColor rgb="FFFFEDD5"/>
      </patternFill>
    </fill>
    <fill>
      <patternFill patternType="solid">
        <fgColor rgb="FFD6E4F7"/>
        <bgColor rgb="FFEDE9FE"/>
      </patternFill>
    </fill>
    <fill>
      <patternFill patternType="solid">
        <fgColor rgb="FFDCFCE7"/>
        <bgColor rgb="FFE8F0FB"/>
      </patternFill>
    </fill>
    <fill>
      <patternFill patternType="solid">
        <fgColor rgb="FFF3F4F6"/>
        <bgColor rgb="FFE8F0FB"/>
      </patternFill>
    </fill>
    <fill>
      <patternFill patternType="solid">
        <fgColor rgb="FFEDE9FE"/>
        <bgColor rgb="FFE8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993366"/>
      <rgbColor rgb="FFFEF9C3"/>
      <rgbColor rgb="FFDCFCE7"/>
      <rgbColor rgb="FF660066"/>
      <rgbColor rgb="FFFF8080"/>
      <rgbColor rgb="FF2E5FA3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7"/>
      <rgbColor rgb="FFFFEDD5"/>
      <rgbColor rgb="FFF3F4F6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5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1" min="10" style="0" width="13"/>
    <col collapsed="false" customWidth="true" hidden="false" outlineLevel="0" max="12" min="12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6" hidden="false" customHeight="true" outlineLevel="0" collapsed="false">
      <c r="A5" s="4" t="s">
        <v>14</v>
      </c>
      <c r="B5" s="5" t="s">
        <v>15</v>
      </c>
      <c r="C5" s="5" t="s">
        <v>16</v>
      </c>
      <c r="D5" s="5" t="s">
        <v>17</v>
      </c>
      <c r="E5" s="6" t="s">
        <v>18</v>
      </c>
      <c r="F5" s="7" t="s">
        <v>19</v>
      </c>
      <c r="G5" s="8" t="s">
        <v>20</v>
      </c>
      <c r="H5" s="5" t="s">
        <v>21</v>
      </c>
      <c r="I5" s="5" t="s">
        <v>22</v>
      </c>
      <c r="J5" s="7" t="s">
        <v>23</v>
      </c>
      <c r="K5" s="7"/>
      <c r="L5" s="5" t="s">
        <v>24</v>
      </c>
    </row>
    <row r="6" customFormat="false" ht="36" hidden="false" customHeight="true" outlineLevel="0" collapsed="false">
      <c r="A6" s="9" t="s">
        <v>25</v>
      </c>
      <c r="B6" s="10" t="s">
        <v>26</v>
      </c>
      <c r="C6" s="10" t="s">
        <v>27</v>
      </c>
      <c r="D6" s="10" t="s">
        <v>28</v>
      </c>
      <c r="E6" s="6" t="s">
        <v>18</v>
      </c>
      <c r="F6" s="11" t="s">
        <v>19</v>
      </c>
      <c r="G6" s="8" t="s">
        <v>20</v>
      </c>
      <c r="H6" s="10" t="s">
        <v>21</v>
      </c>
      <c r="I6" s="10" t="s">
        <v>29</v>
      </c>
      <c r="J6" s="11" t="s">
        <v>23</v>
      </c>
      <c r="K6" s="11"/>
      <c r="L6" s="10" t="s">
        <v>30</v>
      </c>
    </row>
    <row r="7" customFormat="false" ht="36" hidden="false" customHeight="true" outlineLevel="0" collapsed="false">
      <c r="A7" s="4" t="s">
        <v>31</v>
      </c>
      <c r="B7" s="5" t="s">
        <v>15</v>
      </c>
      <c r="C7" s="5" t="s">
        <v>32</v>
      </c>
      <c r="D7" s="5" t="s">
        <v>33</v>
      </c>
      <c r="E7" s="8" t="s">
        <v>19</v>
      </c>
      <c r="F7" s="7" t="s">
        <v>19</v>
      </c>
      <c r="G7" s="8" t="s">
        <v>20</v>
      </c>
      <c r="H7" s="5" t="s">
        <v>21</v>
      </c>
      <c r="I7" s="5" t="s">
        <v>22</v>
      </c>
      <c r="J7" s="7" t="s">
        <v>23</v>
      </c>
      <c r="K7" s="7"/>
      <c r="L7" s="5" t="s">
        <v>34</v>
      </c>
    </row>
    <row r="8" customFormat="false" ht="36" hidden="false" customHeight="true" outlineLevel="0" collapsed="false">
      <c r="A8" s="9" t="s">
        <v>35</v>
      </c>
      <c r="B8" s="10" t="s">
        <v>26</v>
      </c>
      <c r="C8" s="10" t="s">
        <v>36</v>
      </c>
      <c r="D8" s="10" t="s">
        <v>37</v>
      </c>
      <c r="E8" s="8" t="s">
        <v>19</v>
      </c>
      <c r="F8" s="11" t="s">
        <v>19</v>
      </c>
      <c r="G8" s="8" t="s">
        <v>20</v>
      </c>
      <c r="H8" s="10" t="s">
        <v>21</v>
      </c>
      <c r="I8" s="10" t="s">
        <v>22</v>
      </c>
      <c r="J8" s="11" t="s">
        <v>23</v>
      </c>
      <c r="K8" s="11"/>
      <c r="L8" s="10" t="s">
        <v>38</v>
      </c>
    </row>
    <row r="9" customFormat="false" ht="36" hidden="false" customHeight="true" outlineLevel="0" collapsed="false">
      <c r="A9" s="4" t="s">
        <v>39</v>
      </c>
      <c r="B9" s="5" t="s">
        <v>40</v>
      </c>
      <c r="C9" s="5" t="s">
        <v>41</v>
      </c>
      <c r="D9" s="5" t="s">
        <v>42</v>
      </c>
      <c r="E9" s="8" t="s">
        <v>19</v>
      </c>
      <c r="F9" s="7" t="s">
        <v>19</v>
      </c>
      <c r="G9" s="8" t="s">
        <v>20</v>
      </c>
      <c r="H9" s="5" t="s">
        <v>21</v>
      </c>
      <c r="I9" s="5" t="s">
        <v>29</v>
      </c>
      <c r="J9" s="7" t="s">
        <v>23</v>
      </c>
      <c r="K9" s="7"/>
      <c r="L9" s="5" t="s">
        <v>43</v>
      </c>
    </row>
    <row r="10" customFormat="false" ht="36" hidden="false" customHeight="true" outlineLevel="0" collapsed="false">
      <c r="A10" s="9" t="s">
        <v>44</v>
      </c>
      <c r="B10" s="10" t="s">
        <v>45</v>
      </c>
      <c r="C10" s="10" t="s">
        <v>46</v>
      </c>
      <c r="D10" s="10" t="s">
        <v>47</v>
      </c>
      <c r="E10" s="8" t="s">
        <v>19</v>
      </c>
      <c r="F10" s="11" t="s">
        <v>19</v>
      </c>
      <c r="G10" s="12" t="s">
        <v>48</v>
      </c>
      <c r="H10" s="10" t="s">
        <v>21</v>
      </c>
      <c r="I10" s="10" t="s">
        <v>49</v>
      </c>
      <c r="J10" s="11" t="s">
        <v>23</v>
      </c>
      <c r="K10" s="11"/>
      <c r="L10" s="10" t="s">
        <v>50</v>
      </c>
    </row>
    <row r="11" customFormat="false" ht="36" hidden="false" customHeight="true" outlineLevel="0" collapsed="false">
      <c r="A11" s="4" t="s">
        <v>51</v>
      </c>
      <c r="B11" s="5" t="s">
        <v>52</v>
      </c>
      <c r="C11" s="5" t="s">
        <v>53</v>
      </c>
      <c r="D11" s="5" t="s">
        <v>54</v>
      </c>
      <c r="E11" s="6" t="s">
        <v>18</v>
      </c>
      <c r="F11" s="7" t="s">
        <v>19</v>
      </c>
      <c r="G11" s="8" t="s">
        <v>20</v>
      </c>
      <c r="H11" s="5" t="s">
        <v>21</v>
      </c>
      <c r="I11" s="5" t="s">
        <v>22</v>
      </c>
      <c r="J11" s="7" t="s">
        <v>23</v>
      </c>
      <c r="K11" s="7"/>
      <c r="L11" s="5" t="s">
        <v>55</v>
      </c>
    </row>
    <row r="12" customFormat="false" ht="36" hidden="false" customHeight="true" outlineLevel="0" collapsed="false">
      <c r="A12" s="9" t="s">
        <v>56</v>
      </c>
      <c r="B12" s="10" t="s">
        <v>40</v>
      </c>
      <c r="C12" s="10" t="s">
        <v>57</v>
      </c>
      <c r="D12" s="10" t="s">
        <v>58</v>
      </c>
      <c r="E12" s="8" t="s">
        <v>19</v>
      </c>
      <c r="F12" s="11" t="s">
        <v>19</v>
      </c>
      <c r="G12" s="8" t="s">
        <v>20</v>
      </c>
      <c r="H12" s="10" t="s">
        <v>21</v>
      </c>
      <c r="I12" s="10" t="s">
        <v>59</v>
      </c>
      <c r="J12" s="11" t="s">
        <v>23</v>
      </c>
      <c r="K12" s="11"/>
      <c r="L12" s="10" t="s">
        <v>60</v>
      </c>
    </row>
    <row r="13" customFormat="false" ht="36" hidden="false" customHeight="true" outlineLevel="0" collapsed="false">
      <c r="A13" s="4" t="s">
        <v>61</v>
      </c>
      <c r="B13" s="5" t="s">
        <v>26</v>
      </c>
      <c r="C13" s="5" t="s">
        <v>62</v>
      </c>
      <c r="D13" s="5" t="s">
        <v>63</v>
      </c>
      <c r="E13" s="12" t="s">
        <v>64</v>
      </c>
      <c r="F13" s="7" t="s">
        <v>64</v>
      </c>
      <c r="G13" s="13" t="s">
        <v>65</v>
      </c>
      <c r="H13" s="5" t="s">
        <v>21</v>
      </c>
      <c r="I13" s="5" t="s">
        <v>29</v>
      </c>
      <c r="J13" s="7" t="s">
        <v>23</v>
      </c>
      <c r="K13" s="7"/>
      <c r="L13" s="5" t="s">
        <v>66</v>
      </c>
    </row>
    <row r="14" customFormat="false" ht="36" hidden="false" customHeight="true" outlineLevel="0" collapsed="false">
      <c r="A14" s="9" t="s">
        <v>67</v>
      </c>
      <c r="B14" s="10" t="s">
        <v>52</v>
      </c>
      <c r="C14" s="10" t="s">
        <v>68</v>
      </c>
      <c r="D14" s="10" t="s">
        <v>69</v>
      </c>
      <c r="E14" s="12" t="s">
        <v>64</v>
      </c>
      <c r="F14" s="11" t="s">
        <v>64</v>
      </c>
      <c r="G14" s="13" t="s">
        <v>65</v>
      </c>
      <c r="H14" s="10" t="s">
        <v>21</v>
      </c>
      <c r="I14" s="10" t="s">
        <v>22</v>
      </c>
      <c r="J14" s="11" t="s">
        <v>23</v>
      </c>
      <c r="K14" s="11"/>
      <c r="L14" s="10" t="s">
        <v>70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" t="s">
        <v>71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72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14" t="s">
        <v>73</v>
      </c>
      <c r="B4" s="14"/>
      <c r="C4" s="14"/>
    </row>
    <row r="5" customFormat="false" ht="24" hidden="false" customHeight="true" outlineLevel="0" collapsed="false">
      <c r="A5" s="3" t="s">
        <v>3</v>
      </c>
      <c r="B5" s="3" t="s">
        <v>74</v>
      </c>
      <c r="C5" s="3" t="s">
        <v>75</v>
      </c>
    </row>
    <row r="6" customFormat="false" ht="21.75" hidden="false" customHeight="true" outlineLevel="0" collapsed="false">
      <c r="A6" s="10" t="s">
        <v>15</v>
      </c>
      <c r="B6" s="11" t="s">
        <v>76</v>
      </c>
      <c r="C6" s="10" t="s">
        <v>77</v>
      </c>
    </row>
    <row r="7" customFormat="false" ht="21.75" hidden="false" customHeight="true" outlineLevel="0" collapsed="false">
      <c r="A7" s="5" t="s">
        <v>26</v>
      </c>
      <c r="B7" s="7" t="s">
        <v>76</v>
      </c>
      <c r="C7" s="5" t="s">
        <v>77</v>
      </c>
    </row>
    <row r="8" customFormat="false" ht="21.75" hidden="false" customHeight="true" outlineLevel="0" collapsed="false">
      <c r="A8" s="10" t="s">
        <v>40</v>
      </c>
      <c r="B8" s="11" t="s">
        <v>78</v>
      </c>
      <c r="C8" s="10" t="s">
        <v>79</v>
      </c>
    </row>
    <row r="9" customFormat="false" ht="21.75" hidden="false" customHeight="true" outlineLevel="0" collapsed="false">
      <c r="A9" s="5" t="s">
        <v>45</v>
      </c>
      <c r="B9" s="7" t="s">
        <v>80</v>
      </c>
      <c r="C9" s="5" t="s">
        <v>81</v>
      </c>
    </row>
    <row r="10" customFormat="false" ht="21.75" hidden="false" customHeight="true" outlineLevel="0" collapsed="false">
      <c r="A10" s="10" t="s">
        <v>52</v>
      </c>
      <c r="B10" s="11" t="s">
        <v>78</v>
      </c>
      <c r="C10" s="10" t="s">
        <v>82</v>
      </c>
    </row>
    <row r="11" customFormat="false" ht="21.75" hidden="false" customHeight="true" outlineLevel="0" collapsed="false">
      <c r="A11" s="15" t="s">
        <v>83</v>
      </c>
      <c r="B11" s="15" t="n">
        <f aca="false">SUM(B6:B10)</f>
        <v>0</v>
      </c>
      <c r="C11" s="16" t="s">
        <v>84</v>
      </c>
    </row>
    <row r="13" customFormat="false" ht="24" hidden="false" customHeight="true" outlineLevel="0" collapsed="false">
      <c r="A13" s="14" t="s">
        <v>85</v>
      </c>
      <c r="B13" s="14"/>
      <c r="C13" s="14"/>
    </row>
    <row r="14" customFormat="false" ht="24" hidden="false" customHeight="true" outlineLevel="0" collapsed="false">
      <c r="A14" s="3" t="s">
        <v>8</v>
      </c>
      <c r="B14" s="3" t="s">
        <v>86</v>
      </c>
      <c r="C14" s="3" t="s">
        <v>87</v>
      </c>
    </row>
    <row r="15" customFormat="false" ht="21.75" hidden="false" customHeight="true" outlineLevel="0" collapsed="false">
      <c r="A15" s="17" t="s">
        <v>20</v>
      </c>
      <c r="B15" s="8" t="n">
        <v>7</v>
      </c>
      <c r="C15" s="17" t="s">
        <v>88</v>
      </c>
    </row>
    <row r="16" customFormat="false" ht="21.75" hidden="false" customHeight="true" outlineLevel="0" collapsed="false">
      <c r="A16" s="18" t="s">
        <v>48</v>
      </c>
      <c r="B16" s="12" t="n">
        <v>1</v>
      </c>
      <c r="C16" s="18" t="s">
        <v>89</v>
      </c>
    </row>
    <row r="17" customFormat="false" ht="21.75" hidden="false" customHeight="true" outlineLevel="0" collapsed="false">
      <c r="A17" s="19" t="s">
        <v>65</v>
      </c>
      <c r="B17" s="13" t="n">
        <v>2</v>
      </c>
      <c r="C17" s="19" t="s">
        <v>90</v>
      </c>
    </row>
    <row r="18" customFormat="false" ht="21.75" hidden="false" customHeight="true" outlineLevel="0" collapsed="false">
      <c r="A18" s="20" t="s">
        <v>91</v>
      </c>
      <c r="B18" s="21" t="n">
        <v>0</v>
      </c>
      <c r="C18" s="20" t="s">
        <v>92</v>
      </c>
    </row>
    <row r="19" customFormat="false" ht="21.75" hidden="false" customHeight="true" outlineLevel="0" collapsed="false">
      <c r="A19" s="22" t="s">
        <v>93</v>
      </c>
      <c r="B19" s="23" t="n">
        <v>0</v>
      </c>
      <c r="C19" s="22" t="s">
        <v>94</v>
      </c>
    </row>
    <row r="20" customFormat="false" ht="21.75" hidden="false" customHeight="true" outlineLevel="0" collapsed="false">
      <c r="A20" s="15" t="s">
        <v>83</v>
      </c>
      <c r="B20" s="15" t="n">
        <f aca="false">SUM(B15:B19)</f>
        <v>10</v>
      </c>
    </row>
    <row r="22" customFormat="false" ht="24" hidden="false" customHeight="true" outlineLevel="0" collapsed="false">
      <c r="A22" s="14" t="s">
        <v>95</v>
      </c>
      <c r="B22" s="14"/>
      <c r="C22" s="14"/>
    </row>
    <row r="23" customFormat="false" ht="24" hidden="false" customHeight="true" outlineLevel="0" collapsed="false">
      <c r="A23" s="3" t="s">
        <v>6</v>
      </c>
      <c r="B23" s="3" t="s">
        <v>86</v>
      </c>
      <c r="C23" s="3" t="s">
        <v>96</v>
      </c>
    </row>
    <row r="24" customFormat="false" ht="21.75" hidden="false" customHeight="true" outlineLevel="0" collapsed="false">
      <c r="A24" s="24" t="s">
        <v>18</v>
      </c>
      <c r="B24" s="6" t="n">
        <v>3</v>
      </c>
      <c r="C24" s="25" t="n">
        <f aca="false">B24/B28*100</f>
        <v>27.2727272727273</v>
      </c>
    </row>
    <row r="25" customFormat="false" ht="21.75" hidden="false" customHeight="true" outlineLevel="0" collapsed="false">
      <c r="A25" s="26" t="s">
        <v>19</v>
      </c>
      <c r="B25" s="8" t="n">
        <v>6</v>
      </c>
      <c r="C25" s="27" t="n">
        <f aca="false">B25/B28*100</f>
        <v>54.5454545454545</v>
      </c>
    </row>
    <row r="26" customFormat="false" ht="21.75" hidden="false" customHeight="true" outlineLevel="0" collapsed="false">
      <c r="A26" s="28" t="s">
        <v>64</v>
      </c>
      <c r="B26" s="12" t="n">
        <v>2</v>
      </c>
      <c r="C26" s="29" t="n">
        <f aca="false">B26/B28*100</f>
        <v>18.1818181818182</v>
      </c>
    </row>
    <row r="27" customFormat="false" ht="21.75" hidden="false" customHeight="true" outlineLevel="0" collapsed="false">
      <c r="A27" s="30" t="s">
        <v>97</v>
      </c>
      <c r="B27" s="21" t="n">
        <v>0</v>
      </c>
      <c r="C27" s="31" t="n">
        <f aca="false">B27/B28*100</f>
        <v>0</v>
      </c>
    </row>
    <row r="28" customFormat="false" ht="21.75" hidden="false" customHeight="true" outlineLevel="0" collapsed="false">
      <c r="A28" s="15" t="s">
        <v>83</v>
      </c>
      <c r="B28" s="15" t="n">
        <f aca="false">SUM(B24:B27)</f>
        <v>11</v>
      </c>
    </row>
  </sheetData>
  <mergeCells count="5">
    <mergeCell ref="A1:F1"/>
    <mergeCell ref="A2:F2"/>
    <mergeCell ref="A4:C4"/>
    <mergeCell ref="A13:C13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" t="s">
        <v>98</v>
      </c>
      <c r="B1" s="1"/>
      <c r="C1" s="1"/>
      <c r="D1" s="1"/>
      <c r="E1" s="1"/>
    </row>
    <row r="2" customFormat="false" ht="18" hidden="false" customHeight="true" outlineLevel="0" collapsed="false">
      <c r="A2" s="2" t="s">
        <v>99</v>
      </c>
      <c r="B2" s="2"/>
      <c r="C2" s="2"/>
      <c r="D2" s="2"/>
      <c r="E2" s="2"/>
    </row>
    <row r="4" customFormat="false" ht="24" hidden="false" customHeight="true" outlineLevel="0" collapsed="false">
      <c r="A4" s="3" t="s">
        <v>8</v>
      </c>
      <c r="B4" s="3" t="s">
        <v>100</v>
      </c>
      <c r="C4" s="3" t="s">
        <v>101</v>
      </c>
      <c r="D4" s="3" t="s">
        <v>102</v>
      </c>
      <c r="E4" s="3" t="s">
        <v>103</v>
      </c>
    </row>
    <row r="5" customFormat="false" ht="24" hidden="false" customHeight="true" outlineLevel="0" collapsed="false">
      <c r="A5" s="32" t="s">
        <v>65</v>
      </c>
      <c r="B5" s="19" t="s">
        <v>104</v>
      </c>
      <c r="C5" s="19" t="s">
        <v>105</v>
      </c>
      <c r="D5" s="19" t="s">
        <v>106</v>
      </c>
      <c r="E5" s="33" t="s">
        <v>107</v>
      </c>
    </row>
    <row r="6" customFormat="false" ht="24" hidden="false" customHeight="true" outlineLevel="0" collapsed="false">
      <c r="A6" s="26" t="s">
        <v>20</v>
      </c>
      <c r="B6" s="17" t="s">
        <v>108</v>
      </c>
      <c r="C6" s="17" t="s">
        <v>109</v>
      </c>
      <c r="D6" s="17" t="s">
        <v>110</v>
      </c>
      <c r="E6" s="34" t="s">
        <v>111</v>
      </c>
    </row>
    <row r="7" customFormat="false" ht="24" hidden="false" customHeight="true" outlineLevel="0" collapsed="false">
      <c r="A7" s="28" t="s">
        <v>48</v>
      </c>
      <c r="B7" s="18" t="s">
        <v>112</v>
      </c>
      <c r="C7" s="18" t="s">
        <v>113</v>
      </c>
      <c r="D7" s="18" t="s">
        <v>91</v>
      </c>
      <c r="E7" s="35" t="s">
        <v>114</v>
      </c>
    </row>
    <row r="8" customFormat="false" ht="24" hidden="false" customHeight="true" outlineLevel="0" collapsed="false">
      <c r="A8" s="30" t="s">
        <v>91</v>
      </c>
      <c r="B8" s="20" t="s">
        <v>112</v>
      </c>
      <c r="C8" s="20" t="s">
        <v>115</v>
      </c>
      <c r="D8" s="20" t="s">
        <v>116</v>
      </c>
      <c r="E8" s="36" t="s">
        <v>117</v>
      </c>
    </row>
    <row r="9" customFormat="false" ht="24" hidden="false" customHeight="true" outlineLevel="0" collapsed="false">
      <c r="A9" s="37" t="s">
        <v>116</v>
      </c>
      <c r="B9" s="38" t="s">
        <v>104</v>
      </c>
      <c r="C9" s="38" t="s">
        <v>118</v>
      </c>
      <c r="D9" s="38" t="s">
        <v>119</v>
      </c>
      <c r="E9" s="39" t="s">
        <v>120</v>
      </c>
    </row>
    <row r="10" customFormat="false" ht="24" hidden="false" customHeight="true" outlineLevel="0" collapsed="false">
      <c r="A10" s="30" t="s">
        <v>93</v>
      </c>
      <c r="B10" s="20" t="s">
        <v>104</v>
      </c>
      <c r="C10" s="20" t="s">
        <v>121</v>
      </c>
      <c r="D10" s="20" t="s">
        <v>122</v>
      </c>
      <c r="E10" s="36" t="s">
        <v>117</v>
      </c>
    </row>
    <row r="11" customFormat="false" ht="24" hidden="false" customHeight="true" outlineLevel="0" collapsed="false">
      <c r="A11" s="24" t="s">
        <v>123</v>
      </c>
      <c r="B11" s="40" t="s">
        <v>104</v>
      </c>
      <c r="C11" s="40" t="s">
        <v>124</v>
      </c>
      <c r="D11" s="40" t="s">
        <v>48</v>
      </c>
      <c r="E11" s="41" t="s">
        <v>125</v>
      </c>
    </row>
    <row r="12" customFormat="false" ht="24" hidden="false" customHeight="true" outlineLevel="0" collapsed="false">
      <c r="A12" s="42" t="s">
        <v>126</v>
      </c>
      <c r="B12" s="22" t="s">
        <v>108</v>
      </c>
      <c r="C12" s="22" t="s">
        <v>127</v>
      </c>
      <c r="D12" s="22" t="s">
        <v>122</v>
      </c>
      <c r="E12" s="43" t="s">
        <v>128</v>
      </c>
    </row>
    <row r="13" customFormat="false" ht="24" hidden="false" customHeight="true" outlineLevel="0" collapsed="false">
      <c r="A13" s="28" t="s">
        <v>129</v>
      </c>
      <c r="B13" s="18" t="s">
        <v>130</v>
      </c>
      <c r="C13" s="18" t="s">
        <v>131</v>
      </c>
      <c r="D13" s="18" t="s">
        <v>132</v>
      </c>
      <c r="E13" s="35" t="s">
        <v>114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2026-03-28T19:13:50Z</dcterms:created>
  <dc:creator>openpyxl</dc:creator>
  <dc:description/>
  <dc:language>en-US</dc:language>
  <cp:lastModifiedBy/>
  <dcterms:modified xsi:type="dcterms:W3CDTF">2026-03-28T19:13:50Z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